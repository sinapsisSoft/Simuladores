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20730" windowHeight="11700"/>
  </bookViews>
  <sheets>
    <sheet name="Formulas" sheetId="1" r:id="rId1"/>
    <sheet name="Macro" sheetId="2" r:id="rId2"/>
  </sheets>
  <calcPr calcId="145621"/>
</workbook>
</file>

<file path=xl/calcChain.xml><?xml version="1.0" encoding="utf-8"?>
<calcChain xmlns="http://schemas.openxmlformats.org/spreadsheetml/2006/main">
  <c r="B4" i="1" l="1"/>
  <c r="B5" i="1" s="1"/>
  <c r="G73" i="2" l="1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E43" i="2"/>
  <c r="G42" i="2"/>
  <c r="F42" i="2"/>
  <c r="E42" i="2"/>
  <c r="G41" i="2"/>
  <c r="F41" i="2"/>
  <c r="E41" i="2"/>
  <c r="G40" i="2"/>
  <c r="F40" i="2"/>
  <c r="E40" i="2"/>
  <c r="G39" i="2"/>
  <c r="F39" i="2"/>
  <c r="E39" i="2"/>
  <c r="G38" i="2"/>
  <c r="F38" i="2"/>
  <c r="E38" i="2"/>
  <c r="G37" i="2"/>
  <c r="F37" i="2"/>
  <c r="E37" i="2"/>
  <c r="G36" i="2"/>
  <c r="F36" i="2"/>
  <c r="E36" i="2"/>
  <c r="G35" i="2"/>
  <c r="F35" i="2"/>
  <c r="E35" i="2"/>
  <c r="G34" i="2"/>
  <c r="F34" i="2"/>
  <c r="E34" i="2"/>
  <c r="G33" i="2"/>
  <c r="F33" i="2"/>
  <c r="E33" i="2"/>
  <c r="G32" i="2"/>
  <c r="F32" i="2"/>
  <c r="E32" i="2"/>
  <c r="G31" i="2"/>
  <c r="F31" i="2"/>
  <c r="E31" i="2"/>
  <c r="G30" i="2"/>
  <c r="F30" i="2"/>
  <c r="E30" i="2"/>
  <c r="G29" i="2"/>
  <c r="F29" i="2"/>
  <c r="E29" i="2"/>
  <c r="G28" i="2"/>
  <c r="F28" i="2"/>
  <c r="E28" i="2"/>
  <c r="G27" i="2"/>
  <c r="F27" i="2"/>
  <c r="E27" i="2"/>
  <c r="G26" i="2"/>
  <c r="F26" i="2"/>
  <c r="E26" i="2"/>
  <c r="G25" i="2"/>
  <c r="F25" i="2"/>
  <c r="E25" i="2"/>
  <c r="G24" i="2"/>
  <c r="F24" i="2"/>
  <c r="E24" i="2"/>
  <c r="G23" i="2"/>
  <c r="F23" i="2"/>
  <c r="E23" i="2"/>
  <c r="G22" i="2"/>
  <c r="F22" i="2"/>
  <c r="E22" i="2"/>
  <c r="G21" i="2"/>
  <c r="F21" i="2"/>
  <c r="E21" i="2"/>
  <c r="G20" i="2"/>
  <c r="F20" i="2"/>
  <c r="E20" i="2"/>
  <c r="G19" i="2"/>
  <c r="F19" i="2"/>
  <c r="E19" i="2"/>
  <c r="G18" i="2"/>
  <c r="F18" i="2"/>
  <c r="E18" i="2"/>
  <c r="G17" i="2"/>
  <c r="F17" i="2"/>
  <c r="E17" i="2"/>
  <c r="G16" i="2"/>
  <c r="F16" i="2"/>
  <c r="E16" i="2"/>
  <c r="G15" i="2"/>
  <c r="F15" i="2"/>
  <c r="E15" i="2"/>
  <c r="G14" i="2"/>
  <c r="F14" i="2"/>
  <c r="E14" i="2"/>
  <c r="G13" i="2"/>
  <c r="F13" i="2"/>
  <c r="E13" i="2"/>
  <c r="G12" i="2"/>
  <c r="F12" i="2"/>
  <c r="E12" i="2"/>
  <c r="G11" i="2"/>
  <c r="F11" i="2"/>
  <c r="E11" i="2"/>
  <c r="G10" i="2"/>
  <c r="F10" i="2"/>
  <c r="E10" i="2"/>
  <c r="G9" i="2"/>
  <c r="F9" i="2"/>
  <c r="E9" i="2"/>
  <c r="G8" i="2"/>
  <c r="F8" i="2"/>
  <c r="E8" i="2"/>
  <c r="G7" i="2"/>
  <c r="F7" i="2"/>
  <c r="E7" i="2"/>
  <c r="G6" i="2"/>
  <c r="F6" i="2"/>
  <c r="E6" i="2"/>
  <c r="G5" i="2"/>
  <c r="F5" i="2"/>
  <c r="E5" i="2"/>
  <c r="G4" i="2"/>
  <c r="F4" i="2"/>
  <c r="E4" i="2"/>
  <c r="G3" i="2"/>
  <c r="F3" i="2"/>
  <c r="E3" i="2"/>
  <c r="G2" i="2"/>
  <c r="F2" i="2"/>
  <c r="E2" i="2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30" i="1"/>
  <c r="F30" i="1"/>
  <c r="E29" i="1"/>
  <c r="F29" i="1"/>
  <c r="E28" i="1"/>
  <c r="F28" i="1"/>
  <c r="E27" i="1"/>
  <c r="F27" i="1"/>
  <c r="E26" i="1"/>
  <c r="F26" i="1"/>
  <c r="E2" i="1" l="1"/>
  <c r="B4" i="2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G2" i="1" l="1"/>
  <c r="G26" i="1"/>
  <c r="G30" i="1"/>
  <c r="G34" i="1"/>
  <c r="G38" i="1"/>
  <c r="G42" i="1"/>
  <c r="G46" i="1"/>
  <c r="G50" i="1"/>
  <c r="G54" i="1"/>
  <c r="G58" i="1"/>
  <c r="G62" i="1"/>
  <c r="G66" i="1"/>
  <c r="G70" i="1"/>
  <c r="G27" i="1"/>
  <c r="G31" i="1"/>
  <c r="G35" i="1"/>
  <c r="G39" i="1"/>
  <c r="G43" i="1"/>
  <c r="G47" i="1"/>
  <c r="G51" i="1"/>
  <c r="G55" i="1"/>
  <c r="G59" i="1"/>
  <c r="G63" i="1"/>
  <c r="G67" i="1"/>
  <c r="G71" i="1"/>
  <c r="G28" i="1"/>
  <c r="G32" i="1"/>
  <c r="G36" i="1"/>
  <c r="G40" i="1"/>
  <c r="G44" i="1"/>
  <c r="G48" i="1"/>
  <c r="G52" i="1"/>
  <c r="G56" i="1"/>
  <c r="G60" i="1"/>
  <c r="G64" i="1"/>
  <c r="G68" i="1"/>
  <c r="G72" i="1"/>
  <c r="G29" i="1"/>
  <c r="G33" i="1"/>
  <c r="G37" i="1"/>
  <c r="G41" i="1"/>
  <c r="G45" i="1"/>
  <c r="G49" i="1"/>
  <c r="G53" i="1"/>
  <c r="G57" i="1"/>
  <c r="G61" i="1"/>
  <c r="G65" i="1"/>
  <c r="G69" i="1"/>
  <c r="G73" i="1"/>
  <c r="G3" i="1"/>
  <c r="G5" i="1"/>
  <c r="G7" i="1"/>
  <c r="G9" i="1"/>
  <c r="G11" i="1"/>
  <c r="G13" i="1"/>
  <c r="G15" i="1"/>
  <c r="G17" i="1"/>
  <c r="G19" i="1"/>
  <c r="G21" i="1"/>
  <c r="G23" i="1"/>
  <c r="G25" i="1"/>
  <c r="G4" i="1"/>
  <c r="G6" i="1"/>
  <c r="G8" i="1"/>
  <c r="G10" i="1"/>
  <c r="G12" i="1"/>
  <c r="G14" i="1"/>
  <c r="G16" i="1"/>
  <c r="G18" i="1"/>
  <c r="G20" i="1"/>
  <c r="G22" i="1"/>
  <c r="G24" i="1"/>
</calcChain>
</file>

<file path=xl/sharedStrings.xml><?xml version="1.0" encoding="utf-8"?>
<sst xmlns="http://schemas.openxmlformats.org/spreadsheetml/2006/main" count="16" uniqueCount="8">
  <si>
    <t>Monto del crédito:</t>
  </si>
  <si>
    <t>Tasa de interés (anual):</t>
  </si>
  <si>
    <t>Número de pagos (mensuales):</t>
  </si>
  <si>
    <t>Pago (mensual):</t>
  </si>
  <si>
    <t># Pago</t>
  </si>
  <si>
    <t>Pago Interés</t>
  </si>
  <si>
    <t>Pago Capital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</si>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</sst>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\ #,##0.00_);[Red]\(&quot;$&quot;\ #,##0.00\)"/>
    <numFmt numFmtId="44" formatCode="_(&quot;$&quot;\ * #,##0.00_);_(&quot;$&quot;\ * \(#,##0.00\);_(&quot;$&quot;\ * &quot;-&quot;??_);_(@_)"/>
    <numFmt numFmtId="164" formatCode="&quot;$&quot;#,##0.00;[Red]\-&quot;$&quot;#,##0.00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theme="4"/>
      </patternFill>
    </fill>
  </fills>
  <borders count="12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Font="1" applyBorder="1" applyAlignment="1">
      <alignment horizontal="right"/>
    </xf>
    <xf numFmtId="0" fontId="0" fillId="2" borderId="3" xfId="0" applyFont="1" applyFill="1" applyBorder="1" applyAlignment="1">
      <alignment horizontal="right"/>
    </xf>
    <xf numFmtId="165" fontId="0" fillId="2" borderId="4" xfId="0" applyNumberFormat="1" applyFont="1" applyFill="1" applyBorder="1"/>
    <xf numFmtId="0" fontId="0" fillId="0" borderId="3" xfId="0" applyFont="1" applyBorder="1" applyAlignment="1">
      <alignment horizontal="right"/>
    </xf>
    <xf numFmtId="9" fontId="0" fillId="0" borderId="4" xfId="0" applyNumberFormat="1" applyFont="1" applyBorder="1"/>
    <xf numFmtId="0" fontId="0" fillId="2" borderId="4" xfId="0" applyFont="1" applyFill="1" applyBorder="1"/>
    <xf numFmtId="164" fontId="0" fillId="0" borderId="2" xfId="0" applyNumberFormat="1" applyFont="1" applyBorder="1"/>
    <xf numFmtId="0" fontId="1" fillId="3" borderId="7" xfId="0" applyFont="1" applyFill="1" applyBorder="1" applyAlignment="1">
      <alignment horizontal="center"/>
    </xf>
    <xf numFmtId="165" fontId="1" fillId="3" borderId="10" xfId="0" applyNumberFormat="1" applyFont="1" applyFill="1" applyBorder="1" applyAlignment="1">
      <alignment horizontal="center"/>
    </xf>
    <xf numFmtId="165" fontId="1" fillId="3" borderId="8" xfId="0" applyNumberFormat="1" applyFont="1" applyFill="1" applyBorder="1" applyAlignment="1">
      <alignment horizontal="center"/>
    </xf>
    <xf numFmtId="165" fontId="0" fillId="0" borderId="0" xfId="0" applyNumberFormat="1"/>
    <xf numFmtId="44" fontId="0" fillId="2" borderId="4" xfId="1" applyFont="1" applyFill="1" applyBorder="1"/>
    <xf numFmtId="0" fontId="1" fillId="6" borderId="7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5" fontId="0" fillId="4" borderId="10" xfId="0" applyNumberFormat="1" applyFont="1" applyFill="1" applyBorder="1" applyAlignment="1">
      <alignment horizontal="center"/>
    </xf>
    <xf numFmtId="165" fontId="0" fillId="4" borderId="8" xfId="0" applyNumberFormat="1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165" fontId="0" fillId="5" borderId="10" xfId="0" applyNumberFormat="1" applyFont="1" applyFill="1" applyBorder="1" applyAlignment="1">
      <alignment horizontal="center"/>
    </xf>
    <xf numFmtId="165" fontId="0" fillId="5" borderId="8" xfId="0" applyNumberFormat="1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165" fontId="0" fillId="5" borderId="9" xfId="0" applyNumberFormat="1" applyFont="1" applyFill="1" applyBorder="1" applyAlignment="1">
      <alignment horizontal="center"/>
    </xf>
    <xf numFmtId="165" fontId="0" fillId="5" borderId="6" xfId="0" applyNumberFormat="1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165" fontId="0" fillId="4" borderId="0" xfId="0" applyNumberFormat="1" applyFont="1" applyFill="1" applyBorder="1" applyAlignment="1">
      <alignment horizontal="center"/>
    </xf>
    <xf numFmtId="0" fontId="0" fillId="5" borderId="11" xfId="0" applyFont="1" applyFill="1" applyBorder="1" applyAlignment="1">
      <alignment horizontal="center"/>
    </xf>
    <xf numFmtId="165" fontId="0" fillId="5" borderId="0" xfId="0" applyNumberFormat="1" applyFont="1" applyFill="1" applyBorder="1" applyAlignment="1">
      <alignment horizontal="center"/>
    </xf>
    <xf numFmtId="8" fontId="0" fillId="0" borderId="0" xfId="0" applyNumberFormat="1"/>
    <xf numFmtId="10" fontId="0" fillId="0" borderId="4" xfId="0" applyNumberFormat="1" applyFont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5</xdr:row>
          <xdr:rowOff>104775</xdr:rowOff>
        </xdr:from>
        <xdr:to>
          <xdr:col>1</xdr:col>
          <xdr:colOff>609600</xdr:colOff>
          <xdr:row>7</xdr:row>
          <xdr:rowOff>57150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73"/>
  <sheetViews>
    <sheetView tabSelected="1" workbookViewId="0">
      <selection activeCell="B1" sqref="B1"/>
    </sheetView>
  </sheetViews>
  <sheetFormatPr baseColWidth="10" defaultRowHeight="15" x14ac:dyDescent="0.25"/>
  <cols>
    <col min="1" max="1" width="29" bestFit="1" customWidth="1"/>
    <col min="2" max="2" width="15.5703125" bestFit="1" customWidth="1"/>
    <col min="5" max="5" width="14.140625" customWidth="1"/>
    <col min="6" max="6" width="14" customWidth="1"/>
    <col min="7" max="7" width="13.7109375" bestFit="1" customWidth="1"/>
  </cols>
  <sheetData>
    <row r="1" spans="1:7" x14ac:dyDescent="0.25">
      <c r="A1" s="2" t="s">
        <v>0</v>
      </c>
      <c r="B1" s="12">
        <v>50000000</v>
      </c>
      <c r="D1" s="13" t="s">
        <v>4</v>
      </c>
      <c r="E1" s="14" t="s">
        <v>5</v>
      </c>
      <c r="F1" s="14" t="s">
        <v>6</v>
      </c>
      <c r="G1" s="15" t="s">
        <v>7</v>
      </c>
    </row>
    <row r="2" spans="1:7" x14ac:dyDescent="0.25">
      <c r="A2" s="4" t="s">
        <v>1</v>
      </c>
      <c r="B2" s="30">
        <v>0.12540000000000001</v>
      </c>
      <c r="C2">
        <v>1.94</v>
      </c>
      <c r="D2" s="16">
        <v>1</v>
      </c>
      <c r="E2" s="17">
        <f>IPMT($B$2/12,D2,$B$3,-$B$1)</f>
        <v>522500.00000000006</v>
      </c>
      <c r="F2" s="17">
        <f>PPMT($B$2/12,D2,$B$3,-$B$1)</f>
        <v>603414.42907637462</v>
      </c>
      <c r="G2" s="18">
        <f>$B$1-SUM($F$2:F2)</f>
        <v>49396585.570923626</v>
      </c>
    </row>
    <row r="3" spans="1:7" x14ac:dyDescent="0.25">
      <c r="A3" s="2" t="s">
        <v>2</v>
      </c>
      <c r="B3" s="6">
        <v>60</v>
      </c>
      <c r="D3" s="19">
        <v>2</v>
      </c>
      <c r="E3" s="20">
        <f t="shared" ref="E3:E66" si="0">IPMT($B$2/12,D3,$B$3,-$B$1)</f>
        <v>516194.31921615178</v>
      </c>
      <c r="F3" s="20">
        <f t="shared" ref="F3:F66" si="1">PPMT($B$2/12,D3,$B$3,-$B$1)</f>
        <v>609720.10986022279</v>
      </c>
      <c r="G3" s="21">
        <f>$B$1-SUM($F$2:F3)</f>
        <v>48786865.4610634</v>
      </c>
    </row>
    <row r="4" spans="1:7" x14ac:dyDescent="0.25">
      <c r="A4" s="1" t="s">
        <v>3</v>
      </c>
      <c r="B4" s="7">
        <f>PMT(B2/12,B3,-B1)</f>
        <v>1125914.4290763745</v>
      </c>
      <c r="D4" s="16">
        <v>3</v>
      </c>
      <c r="E4" s="17">
        <f t="shared" si="0"/>
        <v>509822.74406811252</v>
      </c>
      <c r="F4" s="17">
        <f t="shared" si="1"/>
        <v>616091.68500826205</v>
      </c>
      <c r="G4" s="18">
        <f>$B$1-SUM($F$2:F4)</f>
        <v>48170773.776055142</v>
      </c>
    </row>
    <row r="5" spans="1:7" x14ac:dyDescent="0.25">
      <c r="B5" s="29">
        <f>B3*B4</f>
        <v>67554865.744582474</v>
      </c>
      <c r="D5" s="19">
        <v>4</v>
      </c>
      <c r="E5" s="20">
        <f t="shared" si="0"/>
        <v>503384.58595977613</v>
      </c>
      <c r="F5" s="20">
        <f t="shared" si="1"/>
        <v>622529.84311659844</v>
      </c>
      <c r="G5" s="21">
        <f>$B$1-SUM($F$2:F5)</f>
        <v>47548243.932938546</v>
      </c>
    </row>
    <row r="6" spans="1:7" x14ac:dyDescent="0.25">
      <c r="B6" s="29"/>
      <c r="D6" s="16">
        <v>5</v>
      </c>
      <c r="E6" s="17">
        <f t="shared" si="0"/>
        <v>496879.14909920772</v>
      </c>
      <c r="F6" s="17">
        <f t="shared" si="1"/>
        <v>629035.27997716679</v>
      </c>
      <c r="G6" s="18">
        <f>$B$1-SUM($F$2:F6)</f>
        <v>46919208.652961373</v>
      </c>
    </row>
    <row r="7" spans="1:7" x14ac:dyDescent="0.25">
      <c r="D7" s="19">
        <v>6</v>
      </c>
      <c r="E7" s="20">
        <f t="shared" si="0"/>
        <v>490305.73042344634</v>
      </c>
      <c r="F7" s="20">
        <f t="shared" si="1"/>
        <v>635608.69865292823</v>
      </c>
      <c r="G7" s="21">
        <f>$B$1-SUM($F$2:F7)</f>
        <v>46283599.95430845</v>
      </c>
    </row>
    <row r="8" spans="1:7" x14ac:dyDescent="0.25">
      <c r="D8" s="16">
        <v>7</v>
      </c>
      <c r="E8" s="17">
        <f t="shared" si="0"/>
        <v>483663.61952252319</v>
      </c>
      <c r="F8" s="17">
        <f t="shared" si="1"/>
        <v>642250.80955385137</v>
      </c>
      <c r="G8" s="18">
        <f>$B$1-SUM($F$2:F8)</f>
        <v>45641349.144754596</v>
      </c>
    </row>
    <row r="9" spans="1:7" x14ac:dyDescent="0.25">
      <c r="D9" s="19">
        <v>8</v>
      </c>
      <c r="E9" s="20">
        <f t="shared" si="0"/>
        <v>476952.09856268542</v>
      </c>
      <c r="F9" s="20">
        <f t="shared" si="1"/>
        <v>648962.33051368908</v>
      </c>
      <c r="G9" s="21">
        <f>$B$1-SUM($F$2:F9)</f>
        <v>44992386.81424091</v>
      </c>
    </row>
    <row r="10" spans="1:7" x14ac:dyDescent="0.25">
      <c r="D10" s="16">
        <v>9</v>
      </c>
      <c r="E10" s="17">
        <f t="shared" si="0"/>
        <v>470170.4422088174</v>
      </c>
      <c r="F10" s="17">
        <f t="shared" si="1"/>
        <v>655743.98686755716</v>
      </c>
      <c r="G10" s="18">
        <f>$B$1-SUM($F$2:F10)</f>
        <v>44336642.827373348</v>
      </c>
    </row>
    <row r="11" spans="1:7" x14ac:dyDescent="0.25">
      <c r="D11" s="19">
        <v>10</v>
      </c>
      <c r="E11" s="20">
        <f t="shared" si="0"/>
        <v>463317.91754605138</v>
      </c>
      <c r="F11" s="20">
        <f t="shared" si="1"/>
        <v>662596.51153032319</v>
      </c>
      <c r="G11" s="21">
        <f>$B$1-SUM($F$2:F11)</f>
        <v>43674046.315843031</v>
      </c>
    </row>
    <row r="12" spans="1:7" x14ac:dyDescent="0.25">
      <c r="D12" s="16">
        <v>11</v>
      </c>
      <c r="E12" s="17">
        <f t="shared" si="0"/>
        <v>456393.78400055954</v>
      </c>
      <c r="F12" s="17">
        <f t="shared" si="1"/>
        <v>669520.64507581491</v>
      </c>
      <c r="G12" s="18">
        <f>$B$1-SUM($F$2:F12)</f>
        <v>43004525.67076721</v>
      </c>
    </row>
    <row r="13" spans="1:7" x14ac:dyDescent="0.25">
      <c r="D13" s="19">
        <v>12</v>
      </c>
      <c r="E13" s="20">
        <f t="shared" si="0"/>
        <v>449397.29325951729</v>
      </c>
      <c r="F13" s="20">
        <f t="shared" si="1"/>
        <v>676517.13581685734</v>
      </c>
      <c r="G13" s="21">
        <f>$B$1-SUM($F$2:F13)</f>
        <v>42328008.534950353</v>
      </c>
    </row>
    <row r="14" spans="1:7" x14ac:dyDescent="0.25">
      <c r="D14" s="16">
        <v>13</v>
      </c>
      <c r="E14" s="17">
        <f t="shared" si="0"/>
        <v>442327.68919023109</v>
      </c>
      <c r="F14" s="17">
        <f t="shared" si="1"/>
        <v>683586.73988614348</v>
      </c>
      <c r="G14" s="18">
        <f>$B$1-SUM($F$2:F14)</f>
        <v>41644421.795064211</v>
      </c>
    </row>
    <row r="15" spans="1:7" x14ac:dyDescent="0.25">
      <c r="D15" s="19">
        <v>14</v>
      </c>
      <c r="E15" s="20">
        <f t="shared" si="0"/>
        <v>435184.2077584209</v>
      </c>
      <c r="F15" s="20">
        <f t="shared" si="1"/>
        <v>690730.22131795366</v>
      </c>
      <c r="G15" s="21">
        <f>$B$1-SUM($F$2:F15)</f>
        <v>40953691.573746257</v>
      </c>
    </row>
    <row r="16" spans="1:7" x14ac:dyDescent="0.25">
      <c r="D16" s="16">
        <v>15</v>
      </c>
      <c r="E16" s="17">
        <f t="shared" si="0"/>
        <v>427966.07694564824</v>
      </c>
      <c r="F16" s="17">
        <f t="shared" si="1"/>
        <v>697948.35213072621</v>
      </c>
      <c r="G16" s="18">
        <f>$B$1-SUM($F$2:F16)</f>
        <v>40255743.221615531</v>
      </c>
    </row>
    <row r="17" spans="4:7" x14ac:dyDescent="0.25">
      <c r="D17" s="19">
        <v>16</v>
      </c>
      <c r="E17" s="20">
        <f t="shared" si="0"/>
        <v>420672.51666588226</v>
      </c>
      <c r="F17" s="20">
        <f t="shared" si="1"/>
        <v>705241.91241049243</v>
      </c>
      <c r="G17" s="21">
        <f>$B$1-SUM($F$2:F17)</f>
        <v>39550501.30920504</v>
      </c>
    </row>
    <row r="18" spans="4:7" x14ac:dyDescent="0.25">
      <c r="D18" s="16">
        <v>17</v>
      </c>
      <c r="E18" s="17">
        <f t="shared" si="0"/>
        <v>413302.73868119257</v>
      </c>
      <c r="F18" s="17">
        <f t="shared" si="1"/>
        <v>712611.690395182</v>
      </c>
      <c r="G18" s="18">
        <f>$B$1-SUM($F$2:F18)</f>
        <v>38837889.618809856</v>
      </c>
    </row>
    <row r="19" spans="4:7" x14ac:dyDescent="0.25">
      <c r="D19" s="19">
        <v>18</v>
      </c>
      <c r="E19" s="20">
        <f t="shared" si="0"/>
        <v>405855.94651656289</v>
      </c>
      <c r="F19" s="20">
        <f t="shared" si="1"/>
        <v>720058.48255981167</v>
      </c>
      <c r="G19" s="21">
        <f>$B$1-SUM($F$2:F19)</f>
        <v>38117831.136250049</v>
      </c>
    </row>
    <row r="20" spans="4:7" x14ac:dyDescent="0.25">
      <c r="D20" s="16">
        <v>19</v>
      </c>
      <c r="E20" s="17">
        <f t="shared" si="0"/>
        <v>398331.33537381288</v>
      </c>
      <c r="F20" s="17">
        <f t="shared" si="1"/>
        <v>727583.09370256169</v>
      </c>
      <c r="G20" s="18">
        <f>$B$1-SUM($F$2:F20)</f>
        <v>37390248.042547487</v>
      </c>
    </row>
    <row r="21" spans="4:7" x14ac:dyDescent="0.25">
      <c r="D21" s="19">
        <v>20</v>
      </c>
      <c r="E21" s="20">
        <f t="shared" si="0"/>
        <v>390728.09204462107</v>
      </c>
      <c r="F21" s="20">
        <f t="shared" si="1"/>
        <v>735186.33703175338</v>
      </c>
      <c r="G21" s="21">
        <f>$B$1-SUM($F$2:F21)</f>
        <v>36655061.705515727</v>
      </c>
    </row>
    <row r="22" spans="4:7" x14ac:dyDescent="0.25">
      <c r="D22" s="16">
        <v>21</v>
      </c>
      <c r="E22" s="17">
        <f t="shared" si="0"/>
        <v>383045.3948226393</v>
      </c>
      <c r="F22" s="17">
        <f t="shared" si="1"/>
        <v>742869.0342537351</v>
      </c>
      <c r="G22" s="18">
        <f>$B$1-SUM($F$2:F22)</f>
        <v>35912192.671261996</v>
      </c>
    </row>
    <row r="23" spans="4:7" x14ac:dyDescent="0.25">
      <c r="D23" s="19">
        <v>22</v>
      </c>
      <c r="E23" s="20">
        <f t="shared" si="0"/>
        <v>375282.41341468773</v>
      </c>
      <c r="F23" s="20">
        <f t="shared" si="1"/>
        <v>750632.01566168678</v>
      </c>
      <c r="G23" s="21">
        <f>$B$1-SUM($F$2:F23)</f>
        <v>35161560.655600309</v>
      </c>
    </row>
    <row r="24" spans="4:7" x14ac:dyDescent="0.25">
      <c r="D24" s="16">
        <v>23</v>
      </c>
      <c r="E24" s="17">
        <f t="shared" si="0"/>
        <v>367438.30885102309</v>
      </c>
      <c r="F24" s="17">
        <f t="shared" si="1"/>
        <v>758476.12022535142</v>
      </c>
      <c r="G24" s="18">
        <f>$B$1-SUM($F$2:F24)</f>
        <v>34403084.535374954</v>
      </c>
    </row>
    <row r="25" spans="4:7" x14ac:dyDescent="0.25">
      <c r="D25" s="22">
        <v>24</v>
      </c>
      <c r="E25" s="23">
        <f t="shared" si="0"/>
        <v>359512.2333946682</v>
      </c>
      <c r="F25" s="23">
        <f t="shared" si="1"/>
        <v>766402.19568170642</v>
      </c>
      <c r="G25" s="24">
        <f>$B$1-SUM($F$2:F25)</f>
        <v>33636682.339693248</v>
      </c>
    </row>
    <row r="26" spans="4:7" x14ac:dyDescent="0.25">
      <c r="D26" s="25">
        <v>25</v>
      </c>
      <c r="E26" s="26">
        <f t="shared" si="0"/>
        <v>351503.33044979442</v>
      </c>
      <c r="F26" s="26">
        <f t="shared" si="1"/>
        <v>774411.09862658021</v>
      </c>
      <c r="G26" s="24">
        <f>$B$1-SUM($F$2:F26)</f>
        <v>32862271.241066672</v>
      </c>
    </row>
    <row r="27" spans="4:7" x14ac:dyDescent="0.25">
      <c r="D27" s="27">
        <v>26</v>
      </c>
      <c r="E27" s="28">
        <f t="shared" si="0"/>
        <v>343410.7344691467</v>
      </c>
      <c r="F27" s="28">
        <f t="shared" si="1"/>
        <v>782503.69460722804</v>
      </c>
      <c r="G27" s="24">
        <f>$B$1-SUM($F$2:F27)</f>
        <v>32079767.546459444</v>
      </c>
    </row>
    <row r="28" spans="4:7" x14ac:dyDescent="0.25">
      <c r="D28" s="25">
        <v>27</v>
      </c>
      <c r="E28" s="26">
        <f t="shared" si="0"/>
        <v>335233.57086050109</v>
      </c>
      <c r="F28" s="26">
        <f t="shared" si="1"/>
        <v>790680.8582158736</v>
      </c>
      <c r="G28" s="24">
        <f>$B$1-SUM($F$2:F28)</f>
        <v>31289086.688243572</v>
      </c>
    </row>
    <row r="29" spans="4:7" x14ac:dyDescent="0.25">
      <c r="D29" s="27">
        <v>28</v>
      </c>
      <c r="E29" s="28">
        <f t="shared" si="0"/>
        <v>326970.95589214523</v>
      </c>
      <c r="F29" s="28">
        <f t="shared" si="1"/>
        <v>798943.47318422934</v>
      </c>
      <c r="G29" s="24">
        <f>$B$1-SUM($F$2:F29)</f>
        <v>30490143.215059344</v>
      </c>
    </row>
    <row r="30" spans="4:7" x14ac:dyDescent="0.25">
      <c r="D30" s="25">
        <v>29</v>
      </c>
      <c r="E30" s="26">
        <f t="shared" si="0"/>
        <v>318621.99659736996</v>
      </c>
      <c r="F30" s="26">
        <f t="shared" si="1"/>
        <v>807292.43247900449</v>
      </c>
      <c r="G30" s="24">
        <f>$B$1-SUM($F$2:F30)</f>
        <v>29682850.782580338</v>
      </c>
    </row>
    <row r="31" spans="4:7" x14ac:dyDescent="0.25">
      <c r="D31" s="25">
        <v>30</v>
      </c>
      <c r="E31" s="26">
        <f t="shared" si="0"/>
        <v>310185.7906779644</v>
      </c>
      <c r="F31" s="26">
        <f t="shared" si="1"/>
        <v>815728.63839841005</v>
      </c>
      <c r="G31" s="24">
        <f>$B$1-SUM($F$2:F31)</f>
        <v>28867122.14418193</v>
      </c>
    </row>
    <row r="32" spans="4:7" x14ac:dyDescent="0.25">
      <c r="D32" s="25">
        <v>31</v>
      </c>
      <c r="E32" s="26">
        <f t="shared" si="0"/>
        <v>301661.42640670104</v>
      </c>
      <c r="F32" s="26">
        <f t="shared" si="1"/>
        <v>824253.00266967341</v>
      </c>
      <c r="G32" s="24">
        <f>$B$1-SUM($F$2:F32)</f>
        <v>28042869.141512256</v>
      </c>
    </row>
    <row r="33" spans="4:7" x14ac:dyDescent="0.25">
      <c r="D33" s="25">
        <v>32</v>
      </c>
      <c r="E33" s="26">
        <f t="shared" si="0"/>
        <v>293047.98252880294</v>
      </c>
      <c r="F33" s="26">
        <f t="shared" si="1"/>
        <v>832866.44654757169</v>
      </c>
      <c r="G33" s="24">
        <f>$B$1-SUM($F$2:F33)</f>
        <v>27210002.694964685</v>
      </c>
    </row>
    <row r="34" spans="4:7" x14ac:dyDescent="0.25">
      <c r="D34" s="25">
        <v>33</v>
      </c>
      <c r="E34" s="26">
        <f t="shared" si="0"/>
        <v>284344.5281623808</v>
      </c>
      <c r="F34" s="26">
        <f t="shared" si="1"/>
        <v>841569.90091399383</v>
      </c>
      <c r="G34" s="24">
        <f>$B$1-SUM($F$2:F34)</f>
        <v>26368432.79405069</v>
      </c>
    </row>
    <row r="35" spans="4:7" x14ac:dyDescent="0.25">
      <c r="D35" s="25">
        <v>34</v>
      </c>
      <c r="E35" s="26">
        <f t="shared" si="0"/>
        <v>275550.12269782956</v>
      </c>
      <c r="F35" s="26">
        <f t="shared" si="1"/>
        <v>850364.30637854489</v>
      </c>
      <c r="G35" s="24">
        <f>$B$1-SUM($F$2:F35)</f>
        <v>25518068.487672146</v>
      </c>
    </row>
    <row r="36" spans="4:7" x14ac:dyDescent="0.25">
      <c r="D36" s="25">
        <v>35</v>
      </c>
      <c r="E36" s="26">
        <f t="shared" si="0"/>
        <v>266663.81569617381</v>
      </c>
      <c r="F36" s="26">
        <f t="shared" si="1"/>
        <v>859250.6133802007</v>
      </c>
      <c r="G36" s="24">
        <f>$B$1-SUM($F$2:F36)</f>
        <v>24658817.874291945</v>
      </c>
    </row>
    <row r="37" spans="4:7" x14ac:dyDescent="0.25">
      <c r="D37" s="25">
        <v>36</v>
      </c>
      <c r="E37" s="26">
        <f t="shared" si="0"/>
        <v>257684.64678635067</v>
      </c>
      <c r="F37" s="26">
        <f t="shared" si="1"/>
        <v>868229.78229002387</v>
      </c>
      <c r="G37" s="24">
        <f>$B$1-SUM($F$2:F37)</f>
        <v>23790588.092001922</v>
      </c>
    </row>
    <row r="38" spans="4:7" x14ac:dyDescent="0.25">
      <c r="D38" s="25">
        <v>37</v>
      </c>
      <c r="E38" s="26">
        <f t="shared" si="0"/>
        <v>248611.64556141992</v>
      </c>
      <c r="F38" s="26">
        <f t="shared" si="1"/>
        <v>877302.78351495462</v>
      </c>
      <c r="G38" s="24">
        <f>$B$1-SUM($F$2:F38)</f>
        <v>22913285.308486968</v>
      </c>
    </row>
    <row r="39" spans="4:7" x14ac:dyDescent="0.25">
      <c r="D39" s="25">
        <v>38</v>
      </c>
      <c r="E39" s="26">
        <f t="shared" si="0"/>
        <v>239443.83147368865</v>
      </c>
      <c r="F39" s="26">
        <f t="shared" si="1"/>
        <v>886470.59760268603</v>
      </c>
      <c r="G39" s="24">
        <f>$B$1-SUM($F$2:F39)</f>
        <v>22026814.710884281</v>
      </c>
    </row>
    <row r="40" spans="4:7" x14ac:dyDescent="0.25">
      <c r="D40" s="25">
        <v>39</v>
      </c>
      <c r="E40" s="26">
        <f t="shared" si="0"/>
        <v>230180.21372874055</v>
      </c>
      <c r="F40" s="26">
        <f t="shared" si="1"/>
        <v>895734.21534763381</v>
      </c>
      <c r="G40" s="24">
        <f>$B$1-SUM($F$2:F40)</f>
        <v>21131080.495536648</v>
      </c>
    </row>
    <row r="41" spans="4:7" x14ac:dyDescent="0.25">
      <c r="D41" s="25">
        <v>40</v>
      </c>
      <c r="E41" s="26">
        <f t="shared" si="0"/>
        <v>220819.79117835785</v>
      </c>
      <c r="F41" s="26">
        <f t="shared" si="1"/>
        <v>905094.6378980166</v>
      </c>
      <c r="G41" s="24">
        <f>$B$1-SUM($F$2:F41)</f>
        <v>20225985.857638631</v>
      </c>
    </row>
    <row r="42" spans="4:7" x14ac:dyDescent="0.25">
      <c r="D42" s="25">
        <v>41</v>
      </c>
      <c r="E42" s="26">
        <f t="shared" si="0"/>
        <v>211361.55221232356</v>
      </c>
      <c r="F42" s="26">
        <f t="shared" si="1"/>
        <v>914552.87686405098</v>
      </c>
      <c r="G42" s="24">
        <f>$B$1-SUM($F$2:F42)</f>
        <v>19311432.980774581</v>
      </c>
    </row>
    <row r="43" spans="4:7" x14ac:dyDescent="0.25">
      <c r="D43" s="25">
        <v>42</v>
      </c>
      <c r="E43" s="26">
        <f t="shared" si="0"/>
        <v>201804.47464909419</v>
      </c>
      <c r="F43" s="26">
        <f t="shared" si="1"/>
        <v>924109.95442728046</v>
      </c>
      <c r="G43" s="24">
        <f>$B$1-SUM($F$2:F43)</f>
        <v>18387323.026347302</v>
      </c>
    </row>
    <row r="44" spans="4:7" x14ac:dyDescent="0.25">
      <c r="D44" s="25">
        <v>43</v>
      </c>
      <c r="E44" s="26">
        <f t="shared" si="0"/>
        <v>192147.52562532912</v>
      </c>
      <c r="F44" s="26">
        <f t="shared" si="1"/>
        <v>933766.90345104539</v>
      </c>
      <c r="G44" s="24">
        <f>$B$1-SUM($F$2:F44)</f>
        <v>17453556.122896258</v>
      </c>
    </row>
    <row r="45" spans="4:7" x14ac:dyDescent="0.25">
      <c r="D45" s="25">
        <v>44</v>
      </c>
      <c r="E45" s="26">
        <f t="shared" si="0"/>
        <v>182389.66148426567</v>
      </c>
      <c r="F45" s="26">
        <f t="shared" si="1"/>
        <v>943524.76759210892</v>
      </c>
      <c r="G45" s="24">
        <f>$B$1-SUM($F$2:F45)</f>
        <v>16510031.355304148</v>
      </c>
    </row>
    <row r="46" spans="4:7" x14ac:dyDescent="0.25">
      <c r="D46" s="25">
        <v>45</v>
      </c>
      <c r="E46" s="26">
        <f t="shared" si="0"/>
        <v>172529.82766292815</v>
      </c>
      <c r="F46" s="26">
        <f t="shared" si="1"/>
        <v>953384.60141344648</v>
      </c>
      <c r="G46" s="24">
        <f>$B$1-SUM($F$2:F46)</f>
        <v>15556646.753890701</v>
      </c>
    </row>
    <row r="47" spans="4:7" x14ac:dyDescent="0.25">
      <c r="D47" s="25">
        <v>46</v>
      </c>
      <c r="E47" s="26">
        <f t="shared" si="0"/>
        <v>162566.95857815765</v>
      </c>
      <c r="F47" s="26">
        <f t="shared" si="1"/>
        <v>963347.4704982168</v>
      </c>
      <c r="G47" s="24">
        <f>$B$1-SUM($F$2:F47)</f>
        <v>14593299.283392482</v>
      </c>
    </row>
    <row r="48" spans="4:7" x14ac:dyDescent="0.25">
      <c r="D48" s="25">
        <v>47</v>
      </c>
      <c r="E48" s="26">
        <f t="shared" si="0"/>
        <v>152499.97751145126</v>
      </c>
      <c r="F48" s="26">
        <f t="shared" si="1"/>
        <v>973414.45156492316</v>
      </c>
      <c r="G48" s="24">
        <f>$B$1-SUM($F$2:F48)</f>
        <v>13619884.831827559</v>
      </c>
    </row>
    <row r="49" spans="4:7" x14ac:dyDescent="0.25">
      <c r="D49" s="25">
        <v>48</v>
      </c>
      <c r="E49" s="26">
        <f t="shared" si="0"/>
        <v>142327.79649259782</v>
      </c>
      <c r="F49" s="26">
        <f t="shared" si="1"/>
        <v>983586.63258377661</v>
      </c>
      <c r="G49" s="24">
        <f>$B$1-SUM($F$2:F49)</f>
        <v>12636298.199243784</v>
      </c>
    </row>
    <row r="50" spans="4:7" x14ac:dyDescent="0.25">
      <c r="D50" s="25">
        <v>49</v>
      </c>
      <c r="E50" s="26">
        <f t="shared" si="0"/>
        <v>132049.31618209733</v>
      </c>
      <c r="F50" s="26">
        <f t="shared" si="1"/>
        <v>993865.11289427709</v>
      </c>
      <c r="G50" s="24">
        <f>$B$1-SUM($F$2:F50)</f>
        <v>11642433.08634951</v>
      </c>
    </row>
    <row r="51" spans="4:7" x14ac:dyDescent="0.25">
      <c r="D51" s="25">
        <v>50</v>
      </c>
      <c r="E51" s="26">
        <f t="shared" si="0"/>
        <v>121663.42575235215</v>
      </c>
      <c r="F51" s="26">
        <f t="shared" si="1"/>
        <v>1004251.0033240224</v>
      </c>
      <c r="G51" s="24">
        <f>$B$1-SUM($F$2:F51)</f>
        <v>10638182.083025485</v>
      </c>
    </row>
    <row r="52" spans="4:7" x14ac:dyDescent="0.25">
      <c r="D52" s="25">
        <v>51</v>
      </c>
      <c r="E52" s="26">
        <f t="shared" si="0"/>
        <v>111169.00276761614</v>
      </c>
      <c r="F52" s="26">
        <f t="shared" si="1"/>
        <v>1014745.4263087583</v>
      </c>
      <c r="G52" s="24">
        <f>$B$1-SUM($F$2:F52)</f>
        <v>9623436.6567167267</v>
      </c>
    </row>
    <row r="53" spans="4:7" x14ac:dyDescent="0.25">
      <c r="D53" s="25">
        <v>52</v>
      </c>
      <c r="E53" s="26">
        <f t="shared" si="0"/>
        <v>100564.91306268959</v>
      </c>
      <c r="F53" s="26">
        <f t="shared" si="1"/>
        <v>1025349.5160136849</v>
      </c>
      <c r="G53" s="24">
        <f>$B$1-SUM($F$2:F53)</f>
        <v>8598087.1407030448</v>
      </c>
    </row>
    <row r="54" spans="4:7" x14ac:dyDescent="0.25">
      <c r="D54" s="25">
        <v>53</v>
      </c>
      <c r="E54" s="26">
        <f t="shared" si="0"/>
        <v>89850.010620346598</v>
      </c>
      <c r="F54" s="26">
        <f t="shared" si="1"/>
        <v>1036064.418456028</v>
      </c>
      <c r="G54" s="24">
        <f>$B$1-SUM($F$2:F54)</f>
        <v>7562022.7222470194</v>
      </c>
    </row>
    <row r="55" spans="4:7" x14ac:dyDescent="0.25">
      <c r="D55" s="25">
        <v>54</v>
      </c>
      <c r="E55" s="26">
        <f t="shared" si="0"/>
        <v>79023.137447481087</v>
      </c>
      <c r="F55" s="26">
        <f t="shared" si="1"/>
        <v>1046891.2916288935</v>
      </c>
      <c r="G55" s="24">
        <f>$B$1-SUM($F$2:F55)</f>
        <v>6515131.4306181222</v>
      </c>
    </row>
    <row r="56" spans="4:7" x14ac:dyDescent="0.25">
      <c r="D56" s="25">
        <v>55</v>
      </c>
      <c r="E56" s="26">
        <f t="shared" si="0"/>
        <v>68083.123449959152</v>
      </c>
      <c r="F56" s="26">
        <f t="shared" si="1"/>
        <v>1057831.3056264152</v>
      </c>
      <c r="G56" s="24">
        <f>$B$1-SUM($F$2:F56)</f>
        <v>5457300.1249917075</v>
      </c>
    </row>
    <row r="57" spans="4:7" x14ac:dyDescent="0.25">
      <c r="D57" s="25">
        <v>56</v>
      </c>
      <c r="E57" s="26">
        <f t="shared" si="0"/>
        <v>57028.786306163114</v>
      </c>
      <c r="F57" s="26">
        <f t="shared" si="1"/>
        <v>1068885.6427702114</v>
      </c>
      <c r="G57" s="24">
        <f>$B$1-SUM($F$2:F57)</f>
        <v>4388414.4822214991</v>
      </c>
    </row>
    <row r="58" spans="4:7" x14ac:dyDescent="0.25">
      <c r="D58" s="25">
        <v>57</v>
      </c>
      <c r="E58" s="26">
        <f t="shared" si="0"/>
        <v>45858.93133921441</v>
      </c>
      <c r="F58" s="26">
        <f t="shared" si="1"/>
        <v>1080055.4977371602</v>
      </c>
      <c r="G58" s="24">
        <f>$B$1-SUM($F$2:F58)</f>
        <v>3308358.9844843373</v>
      </c>
    </row>
    <row r="59" spans="4:7" x14ac:dyDescent="0.25">
      <c r="D59" s="25">
        <v>58</v>
      </c>
      <c r="E59" s="26">
        <f t="shared" si="0"/>
        <v>34572.351387861083</v>
      </c>
      <c r="F59" s="26">
        <f t="shared" si="1"/>
        <v>1091342.0776885133</v>
      </c>
      <c r="G59" s="24">
        <f>$B$1-SUM($F$2:F59)</f>
        <v>2217016.9067958221</v>
      </c>
    </row>
    <row r="60" spans="4:7" x14ac:dyDescent="0.25">
      <c r="D60" s="25">
        <v>59</v>
      </c>
      <c r="E60" s="26">
        <f t="shared" si="0"/>
        <v>23167.826676016113</v>
      </c>
      <c r="F60" s="26">
        <f t="shared" si="1"/>
        <v>1102746.6024003583</v>
      </c>
      <c r="G60" s="24">
        <f>$B$1-SUM($F$2:F60)</f>
        <v>1114270.304395467</v>
      </c>
    </row>
    <row r="61" spans="4:7" x14ac:dyDescent="0.25">
      <c r="D61" s="25">
        <v>60</v>
      </c>
      <c r="E61" s="26">
        <f t="shared" si="0"/>
        <v>11644.124680932371</v>
      </c>
      <c r="F61" s="26">
        <f t="shared" si="1"/>
        <v>1114270.3043954421</v>
      </c>
      <c r="G61" s="24">
        <f>$B$1-SUM($F$2:F61)</f>
        <v>0</v>
      </c>
    </row>
    <row r="62" spans="4:7" x14ac:dyDescent="0.25">
      <c r="D62" s="25">
        <v>61</v>
      </c>
      <c r="E62" s="26" t="e">
        <f t="shared" si="0"/>
        <v>#NUM!</v>
      </c>
      <c r="F62" s="26" t="e">
        <f t="shared" si="1"/>
        <v>#NUM!</v>
      </c>
      <c r="G62" s="24" t="e">
        <f>$B$1-SUM($F$2:F62)</f>
        <v>#NUM!</v>
      </c>
    </row>
    <row r="63" spans="4:7" x14ac:dyDescent="0.25">
      <c r="D63" s="25">
        <v>62</v>
      </c>
      <c r="E63" s="26" t="e">
        <f t="shared" si="0"/>
        <v>#NUM!</v>
      </c>
      <c r="F63" s="26" t="e">
        <f t="shared" si="1"/>
        <v>#NUM!</v>
      </c>
      <c r="G63" s="24" t="e">
        <f>$B$1-SUM($F$2:F63)</f>
        <v>#NUM!</v>
      </c>
    </row>
    <row r="64" spans="4:7" x14ac:dyDescent="0.25">
      <c r="D64" s="25">
        <v>63</v>
      </c>
      <c r="E64" s="26" t="e">
        <f t="shared" si="0"/>
        <v>#NUM!</v>
      </c>
      <c r="F64" s="26" t="e">
        <f t="shared" si="1"/>
        <v>#NUM!</v>
      </c>
      <c r="G64" s="24" t="e">
        <f>$B$1-SUM($F$2:F64)</f>
        <v>#NUM!</v>
      </c>
    </row>
    <row r="65" spans="4:7" x14ac:dyDescent="0.25">
      <c r="D65" s="25">
        <v>64</v>
      </c>
      <c r="E65" s="26" t="e">
        <f t="shared" si="0"/>
        <v>#NUM!</v>
      </c>
      <c r="F65" s="26" t="e">
        <f t="shared" si="1"/>
        <v>#NUM!</v>
      </c>
      <c r="G65" s="24" t="e">
        <f>$B$1-SUM($F$2:F65)</f>
        <v>#NUM!</v>
      </c>
    </row>
    <row r="66" spans="4:7" x14ac:dyDescent="0.25">
      <c r="D66" s="25">
        <v>65</v>
      </c>
      <c r="E66" s="26" t="e">
        <f t="shared" si="0"/>
        <v>#NUM!</v>
      </c>
      <c r="F66" s="26" t="e">
        <f t="shared" si="1"/>
        <v>#NUM!</v>
      </c>
      <c r="G66" s="24" t="e">
        <f>$B$1-SUM($F$2:F66)</f>
        <v>#NUM!</v>
      </c>
    </row>
    <row r="67" spans="4:7" x14ac:dyDescent="0.25">
      <c r="D67" s="25">
        <v>66</v>
      </c>
      <c r="E67" s="26" t="e">
        <f t="shared" ref="E67:E73" si="2">IPMT($B$2/12,D67,$B$3,-$B$1)</f>
        <v>#NUM!</v>
      </c>
      <c r="F67" s="26" t="e">
        <f t="shared" ref="F67:F73" si="3">PPMT($B$2/12,D67,$B$3,-$B$1)</f>
        <v>#NUM!</v>
      </c>
      <c r="G67" s="24" t="e">
        <f>$B$1-SUM($F$2:F67)</f>
        <v>#NUM!</v>
      </c>
    </row>
    <row r="68" spans="4:7" x14ac:dyDescent="0.25">
      <c r="D68" s="25">
        <v>67</v>
      </c>
      <c r="E68" s="26" t="e">
        <f t="shared" si="2"/>
        <v>#NUM!</v>
      </c>
      <c r="F68" s="26" t="e">
        <f t="shared" si="3"/>
        <v>#NUM!</v>
      </c>
      <c r="G68" s="24" t="e">
        <f>$B$1-SUM($F$2:F68)</f>
        <v>#NUM!</v>
      </c>
    </row>
    <row r="69" spans="4:7" x14ac:dyDescent="0.25">
      <c r="D69" s="25">
        <v>68</v>
      </c>
      <c r="E69" s="26" t="e">
        <f t="shared" si="2"/>
        <v>#NUM!</v>
      </c>
      <c r="F69" s="26" t="e">
        <f t="shared" si="3"/>
        <v>#NUM!</v>
      </c>
      <c r="G69" s="24" t="e">
        <f>$B$1-SUM($F$2:F69)</f>
        <v>#NUM!</v>
      </c>
    </row>
    <row r="70" spans="4:7" x14ac:dyDescent="0.25">
      <c r="D70" s="25">
        <v>69</v>
      </c>
      <c r="E70" s="26" t="e">
        <f t="shared" si="2"/>
        <v>#NUM!</v>
      </c>
      <c r="F70" s="26" t="e">
        <f t="shared" si="3"/>
        <v>#NUM!</v>
      </c>
      <c r="G70" s="24" t="e">
        <f>$B$1-SUM($F$2:F70)</f>
        <v>#NUM!</v>
      </c>
    </row>
    <row r="71" spans="4:7" x14ac:dyDescent="0.25">
      <c r="D71" s="25">
        <v>70</v>
      </c>
      <c r="E71" s="26" t="e">
        <f t="shared" si="2"/>
        <v>#NUM!</v>
      </c>
      <c r="F71" s="26" t="e">
        <f t="shared" si="3"/>
        <v>#NUM!</v>
      </c>
      <c r="G71" s="24" t="e">
        <f>$B$1-SUM($F$2:F71)</f>
        <v>#NUM!</v>
      </c>
    </row>
    <row r="72" spans="4:7" x14ac:dyDescent="0.25">
      <c r="D72" s="25">
        <v>71</v>
      </c>
      <c r="E72" s="26" t="e">
        <f t="shared" si="2"/>
        <v>#NUM!</v>
      </c>
      <c r="F72" s="26" t="e">
        <f t="shared" si="3"/>
        <v>#NUM!</v>
      </c>
      <c r="G72" s="24" t="e">
        <f>$B$1-SUM($F$2:F72)</f>
        <v>#NUM!</v>
      </c>
    </row>
    <row r="73" spans="4:7" x14ac:dyDescent="0.25">
      <c r="D73" s="25">
        <v>72</v>
      </c>
      <c r="E73" s="26" t="e">
        <f t="shared" si="2"/>
        <v>#NUM!</v>
      </c>
      <c r="F73" s="26" t="e">
        <f t="shared" si="3"/>
        <v>#NUM!</v>
      </c>
      <c r="G73" s="24" t="e">
        <f>$B$1-SUM($F$2:F73)</f>
        <v>#NUM!</v>
      </c>
    </row>
  </sheetData>
  <conditionalFormatting sqref="D2:G7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73"/>
  <sheetViews>
    <sheetView workbookViewId="0">
      <selection activeCell="G2" sqref="G2"/>
    </sheetView>
  </sheetViews>
  <sheetFormatPr baseColWidth="10" defaultRowHeight="15" x14ac:dyDescent="0.25"/>
  <cols>
    <col min="1" max="1" width="29" bestFit="1" customWidth="1"/>
    <col min="2" max="2" width="13.7109375" bestFit="1" customWidth="1"/>
    <col min="5" max="5" width="12" style="11" bestFit="1" customWidth="1"/>
    <col min="6" max="6" width="12.7109375" style="11" bestFit="1" customWidth="1"/>
    <col min="7" max="7" width="13.7109375" style="11" bestFit="1" customWidth="1"/>
  </cols>
  <sheetData>
    <row r="1" spans="1:7" x14ac:dyDescent="0.25">
      <c r="A1" s="2" t="s">
        <v>0</v>
      </c>
      <c r="B1" s="3">
        <v>25000000</v>
      </c>
      <c r="D1" s="8" t="s">
        <v>4</v>
      </c>
      <c r="E1" s="9" t="s">
        <v>5</v>
      </c>
      <c r="F1" s="9" t="s">
        <v>6</v>
      </c>
      <c r="G1" s="10" t="s">
        <v>7</v>
      </c>
    </row>
    <row r="2" spans="1:7" x14ac:dyDescent="0.25">
      <c r="A2" s="4" t="s">
        <v>1</v>
      </c>
      <c r="B2" s="5">
        <v>0.12</v>
      </c>
      <c r="D2">
        <v>1</v>
      </c>
      <c r="E2" s="11">
        <f t="shared" ref="E2:E33" si="0">IPMT($B$2/12,D2,$B$3,-$B$1)</f>
        <v>250000</v>
      </c>
      <c r="F2" s="11">
        <f t="shared" ref="F2:F33" si="1">PPMT($B$2/12,D2,$B$3,-$B$1)</f>
        <v>238754.81256747607</v>
      </c>
      <c r="G2" s="11">
        <f>$B$1-SUM($F$2:F2)</f>
        <v>24761245.187432524</v>
      </c>
    </row>
    <row r="3" spans="1:7" x14ac:dyDescent="0.25">
      <c r="A3" s="2" t="s">
        <v>2</v>
      </c>
      <c r="B3" s="6">
        <v>72</v>
      </c>
      <c r="D3">
        <v>2</v>
      </c>
      <c r="E3" s="11">
        <f t="shared" si="0"/>
        <v>247612.45187432526</v>
      </c>
      <c r="F3" s="11">
        <f t="shared" si="1"/>
        <v>241142.36069315084</v>
      </c>
      <c r="G3" s="11">
        <f>$B$1-SUM($F$2:F3)</f>
        <v>24520102.826739375</v>
      </c>
    </row>
    <row r="4" spans="1:7" x14ac:dyDescent="0.25">
      <c r="A4" s="1" t="s">
        <v>3</v>
      </c>
      <c r="B4" s="7">
        <f>PMT(B2/12,B3,-B1)</f>
        <v>488754.81256747607</v>
      </c>
      <c r="D4">
        <v>3</v>
      </c>
      <c r="E4" s="11">
        <f t="shared" si="0"/>
        <v>245201.02826739367</v>
      </c>
      <c r="F4" s="11">
        <f t="shared" si="1"/>
        <v>243553.78430008236</v>
      </c>
      <c r="G4" s="11">
        <f>$B$1-SUM($F$2:F4)</f>
        <v>24276549.042439289</v>
      </c>
    </row>
    <row r="5" spans="1:7" x14ac:dyDescent="0.25">
      <c r="D5">
        <v>4</v>
      </c>
      <c r="E5" s="11">
        <f t="shared" si="0"/>
        <v>242765.49042439286</v>
      </c>
      <c r="F5" s="11">
        <f t="shared" si="1"/>
        <v>245989.32214308318</v>
      </c>
      <c r="G5" s="11">
        <f>$B$1-SUM($F$2:F5)</f>
        <v>24030559.720296208</v>
      </c>
    </row>
    <row r="6" spans="1:7" x14ac:dyDescent="0.25">
      <c r="D6">
        <v>5</v>
      </c>
      <c r="E6" s="11">
        <f t="shared" si="0"/>
        <v>240305.59720296203</v>
      </c>
      <c r="F6" s="11">
        <f t="shared" si="1"/>
        <v>248449.21536451395</v>
      </c>
      <c r="G6" s="11">
        <f>$B$1-SUM($F$2:F6)</f>
        <v>23782110.504931692</v>
      </c>
    </row>
    <row r="7" spans="1:7" x14ac:dyDescent="0.25">
      <c r="D7">
        <v>6</v>
      </c>
      <c r="E7" s="11">
        <f t="shared" si="0"/>
        <v>237821.10504931692</v>
      </c>
      <c r="F7" s="11">
        <f t="shared" si="1"/>
        <v>250933.70751815912</v>
      </c>
      <c r="G7" s="11">
        <f>$B$1-SUM($F$2:F7)</f>
        <v>23531176.797413535</v>
      </c>
    </row>
    <row r="8" spans="1:7" x14ac:dyDescent="0.25">
      <c r="D8">
        <v>7</v>
      </c>
      <c r="E8" s="11">
        <f t="shared" si="0"/>
        <v>235311.76797413529</v>
      </c>
      <c r="F8" s="11">
        <f t="shared" si="1"/>
        <v>253443.04459334072</v>
      </c>
      <c r="G8" s="11">
        <f>$B$1-SUM($F$2:F8)</f>
        <v>23277733.752820194</v>
      </c>
    </row>
    <row r="9" spans="1:7" x14ac:dyDescent="0.25">
      <c r="D9">
        <v>8</v>
      </c>
      <c r="E9" s="11">
        <f t="shared" si="0"/>
        <v>232777.33752820187</v>
      </c>
      <c r="F9" s="11">
        <f t="shared" si="1"/>
        <v>255977.47503927414</v>
      </c>
      <c r="G9" s="11">
        <f>$B$1-SUM($F$2:F9)</f>
        <v>23021756.27778092</v>
      </c>
    </row>
    <row r="10" spans="1:7" x14ac:dyDescent="0.25">
      <c r="D10">
        <v>9</v>
      </c>
      <c r="E10" s="11">
        <f t="shared" si="0"/>
        <v>230217.56277780916</v>
      </c>
      <c r="F10" s="11">
        <f t="shared" si="1"/>
        <v>258537.24978966688</v>
      </c>
      <c r="G10" s="11">
        <f>$B$1-SUM($F$2:F10)</f>
        <v>22763219.027991254</v>
      </c>
    </row>
    <row r="11" spans="1:7" x14ac:dyDescent="0.25">
      <c r="D11">
        <v>10</v>
      </c>
      <c r="E11" s="11">
        <f t="shared" si="0"/>
        <v>227632.19027991255</v>
      </c>
      <c r="F11" s="11">
        <f t="shared" si="1"/>
        <v>261122.62228756357</v>
      </c>
      <c r="G11" s="11">
        <f>$B$1-SUM($F$2:F11)</f>
        <v>22502096.40570369</v>
      </c>
    </row>
    <row r="12" spans="1:7" x14ac:dyDescent="0.25">
      <c r="D12">
        <v>11</v>
      </c>
      <c r="E12" s="11">
        <f t="shared" si="0"/>
        <v>225020.96405703682</v>
      </c>
      <c r="F12" s="11">
        <f t="shared" si="1"/>
        <v>263733.84851043916</v>
      </c>
      <c r="G12" s="11">
        <f>$B$1-SUM($F$2:F12)</f>
        <v>22238362.557193249</v>
      </c>
    </row>
    <row r="13" spans="1:7" x14ac:dyDescent="0.25">
      <c r="D13">
        <v>12</v>
      </c>
      <c r="E13" s="11">
        <f t="shared" si="0"/>
        <v>222383.62557193247</v>
      </c>
      <c r="F13" s="11">
        <f t="shared" si="1"/>
        <v>266371.1869955436</v>
      </c>
      <c r="G13" s="11">
        <f>$B$1-SUM($F$2:F13)</f>
        <v>21971991.370197706</v>
      </c>
    </row>
    <row r="14" spans="1:7" x14ac:dyDescent="0.25">
      <c r="D14">
        <v>13</v>
      </c>
      <c r="E14" s="11">
        <f t="shared" si="0"/>
        <v>219719.91370197703</v>
      </c>
      <c r="F14" s="11">
        <f t="shared" si="1"/>
        <v>269034.89886549907</v>
      </c>
      <c r="G14" s="11">
        <f>$B$1-SUM($F$2:F14)</f>
        <v>21702956.471332207</v>
      </c>
    </row>
    <row r="15" spans="1:7" x14ac:dyDescent="0.25">
      <c r="D15">
        <v>14</v>
      </c>
      <c r="E15" s="11">
        <f t="shared" si="0"/>
        <v>217029.56471332203</v>
      </c>
      <c r="F15" s="11">
        <f t="shared" si="1"/>
        <v>271725.24785415397</v>
      </c>
      <c r="G15" s="11">
        <f>$B$1-SUM($F$2:F15)</f>
        <v>21431231.223478053</v>
      </c>
    </row>
    <row r="16" spans="1:7" x14ac:dyDescent="0.25">
      <c r="D16">
        <v>15</v>
      </c>
      <c r="E16" s="11">
        <f t="shared" si="0"/>
        <v>214312.31223478049</v>
      </c>
      <c r="F16" s="11">
        <f t="shared" si="1"/>
        <v>274442.50033269555</v>
      </c>
      <c r="G16" s="11">
        <f>$B$1-SUM($F$2:F16)</f>
        <v>21156788.723145358</v>
      </c>
    </row>
    <row r="17" spans="4:7" x14ac:dyDescent="0.25">
      <c r="D17">
        <v>16</v>
      </c>
      <c r="E17" s="11">
        <f t="shared" si="0"/>
        <v>211567.88723145355</v>
      </c>
      <c r="F17" s="11">
        <f t="shared" si="1"/>
        <v>277186.92533602251</v>
      </c>
      <c r="G17" s="11">
        <f>$B$1-SUM($F$2:F17)</f>
        <v>20879601.797809336</v>
      </c>
    </row>
    <row r="18" spans="4:7" x14ac:dyDescent="0.25">
      <c r="D18">
        <v>17</v>
      </c>
      <c r="E18" s="11">
        <f t="shared" si="0"/>
        <v>208796.0179780933</v>
      </c>
      <c r="F18" s="11">
        <f t="shared" si="1"/>
        <v>279958.79458938271</v>
      </c>
      <c r="G18" s="11">
        <f>$B$1-SUM($F$2:F18)</f>
        <v>20599643.003219955</v>
      </c>
    </row>
    <row r="19" spans="4:7" x14ac:dyDescent="0.25">
      <c r="D19">
        <v>18</v>
      </c>
      <c r="E19" s="11">
        <f t="shared" si="0"/>
        <v>205996.43003219948</v>
      </c>
      <c r="F19" s="11">
        <f t="shared" si="1"/>
        <v>282758.38253527659</v>
      </c>
      <c r="G19" s="11">
        <f>$B$1-SUM($F$2:F19)</f>
        <v>20316884.620684676</v>
      </c>
    </row>
    <row r="20" spans="4:7" x14ac:dyDescent="0.25">
      <c r="D20">
        <v>19</v>
      </c>
      <c r="E20" s="11">
        <f t="shared" si="0"/>
        <v>203168.84620684673</v>
      </c>
      <c r="F20" s="11">
        <f t="shared" si="1"/>
        <v>285585.96636062936</v>
      </c>
      <c r="G20" s="11">
        <f>$B$1-SUM($F$2:F20)</f>
        <v>20031298.654324047</v>
      </c>
    </row>
    <row r="21" spans="4:7" x14ac:dyDescent="0.25">
      <c r="D21">
        <v>20</v>
      </c>
      <c r="E21" s="11">
        <f t="shared" si="0"/>
        <v>200312.9865432404</v>
      </c>
      <c r="F21" s="11">
        <f t="shared" si="1"/>
        <v>288441.82602423563</v>
      </c>
      <c r="G21" s="11">
        <f>$B$1-SUM($F$2:F21)</f>
        <v>19742856.828299813</v>
      </c>
    </row>
    <row r="22" spans="4:7" x14ac:dyDescent="0.25">
      <c r="D22">
        <v>21</v>
      </c>
      <c r="E22" s="11">
        <f t="shared" si="0"/>
        <v>197428.56828299814</v>
      </c>
      <c r="F22" s="11">
        <f t="shared" si="1"/>
        <v>291326.24428447796</v>
      </c>
      <c r="G22" s="11">
        <f>$B$1-SUM($F$2:F22)</f>
        <v>19451530.584015332</v>
      </c>
    </row>
    <row r="23" spans="4:7" x14ac:dyDescent="0.25">
      <c r="D23">
        <v>22</v>
      </c>
      <c r="E23" s="11">
        <f t="shared" si="0"/>
        <v>194515.30584015333</v>
      </c>
      <c r="F23" s="11">
        <f t="shared" si="1"/>
        <v>294239.5067273227</v>
      </c>
      <c r="G23" s="11">
        <f>$B$1-SUM($F$2:F23)</f>
        <v>19157291.077288009</v>
      </c>
    </row>
    <row r="24" spans="4:7" x14ac:dyDescent="0.25">
      <c r="D24">
        <v>23</v>
      </c>
      <c r="E24" s="11">
        <f t="shared" si="0"/>
        <v>191572.9107728801</v>
      </c>
      <c r="F24" s="11">
        <f t="shared" si="1"/>
        <v>297181.90179459593</v>
      </c>
      <c r="G24" s="11">
        <f>$B$1-SUM($F$2:F24)</f>
        <v>18860109.175493415</v>
      </c>
    </row>
    <row r="25" spans="4:7" x14ac:dyDescent="0.25">
      <c r="D25">
        <v>24</v>
      </c>
      <c r="E25" s="11">
        <f t="shared" si="0"/>
        <v>188601.09175493411</v>
      </c>
      <c r="F25" s="11">
        <f t="shared" si="1"/>
        <v>300153.7208125419</v>
      </c>
      <c r="G25" s="11">
        <f>$B$1-SUM($F$2:F25)</f>
        <v>18559955.454680875</v>
      </c>
    </row>
    <row r="26" spans="4:7" x14ac:dyDescent="0.25">
      <c r="D26">
        <v>25</v>
      </c>
      <c r="E26" s="11">
        <f t="shared" si="0"/>
        <v>185599.55454680868</v>
      </c>
      <c r="F26" s="11">
        <f t="shared" si="1"/>
        <v>303155.25802066742</v>
      </c>
      <c r="G26" s="11">
        <f>$B$1-SUM($F$2:F26)</f>
        <v>18256800.196660206</v>
      </c>
    </row>
    <row r="27" spans="4:7" x14ac:dyDescent="0.25">
      <c r="D27">
        <v>26</v>
      </c>
      <c r="E27" s="11">
        <f t="shared" si="0"/>
        <v>182568.00196660202</v>
      </c>
      <c r="F27" s="11">
        <f t="shared" si="1"/>
        <v>306186.81060087407</v>
      </c>
      <c r="G27" s="11">
        <f>$B$1-SUM($F$2:F27)</f>
        <v>17950613.386059333</v>
      </c>
    </row>
    <row r="28" spans="4:7" x14ac:dyDescent="0.25">
      <c r="D28">
        <v>27</v>
      </c>
      <c r="E28" s="11">
        <f t="shared" si="0"/>
        <v>179506.13386059323</v>
      </c>
      <c r="F28" s="11">
        <f t="shared" si="1"/>
        <v>309248.67870688275</v>
      </c>
      <c r="G28" s="11">
        <f>$B$1-SUM($F$2:F28)</f>
        <v>17641364.707352448</v>
      </c>
    </row>
    <row r="29" spans="4:7" x14ac:dyDescent="0.25">
      <c r="D29">
        <v>28</v>
      </c>
      <c r="E29" s="11">
        <f t="shared" si="0"/>
        <v>176413.64707352442</v>
      </c>
      <c r="F29" s="11">
        <f t="shared" si="1"/>
        <v>312341.16549395159</v>
      </c>
      <c r="G29" s="11">
        <f>$B$1-SUM($F$2:F29)</f>
        <v>17329023.541858498</v>
      </c>
    </row>
    <row r="30" spans="4:7" x14ac:dyDescent="0.25">
      <c r="D30">
        <v>29</v>
      </c>
      <c r="E30" s="11">
        <f t="shared" si="0"/>
        <v>173290.2354185849</v>
      </c>
      <c r="F30" s="11">
        <f t="shared" si="1"/>
        <v>315464.57714889111</v>
      </c>
      <c r="G30" s="11">
        <f>$B$1-SUM($F$2:F30)</f>
        <v>17013558.964709606</v>
      </c>
    </row>
    <row r="31" spans="4:7" x14ac:dyDescent="0.25">
      <c r="D31">
        <v>30</v>
      </c>
      <c r="E31" s="11">
        <f t="shared" si="0"/>
        <v>170135.589647096</v>
      </c>
      <c r="F31" s="11">
        <f t="shared" si="1"/>
        <v>318619.22292038001</v>
      </c>
      <c r="G31" s="11">
        <f>$B$1-SUM($F$2:F31)</f>
        <v>16694939.741789227</v>
      </c>
    </row>
    <row r="32" spans="4:7" x14ac:dyDescent="0.25">
      <c r="D32">
        <v>31</v>
      </c>
      <c r="E32" s="11">
        <f t="shared" si="0"/>
        <v>166949.39741789221</v>
      </c>
      <c r="F32" s="11">
        <f t="shared" si="1"/>
        <v>321805.41514958383</v>
      </c>
      <c r="G32" s="11">
        <f>$B$1-SUM($F$2:F32)</f>
        <v>16373134.326639643</v>
      </c>
    </row>
    <row r="33" spans="4:7" x14ac:dyDescent="0.25">
      <c r="D33">
        <v>32</v>
      </c>
      <c r="E33" s="11">
        <f t="shared" si="0"/>
        <v>163731.34326639638</v>
      </c>
      <c r="F33" s="11">
        <f t="shared" si="1"/>
        <v>325023.46930107969</v>
      </c>
      <c r="G33" s="11">
        <f>$B$1-SUM($F$2:F33)</f>
        <v>16048110.857338563</v>
      </c>
    </row>
    <row r="34" spans="4:7" x14ac:dyDescent="0.25">
      <c r="D34">
        <v>33</v>
      </c>
      <c r="E34" s="11">
        <f t="shared" ref="E34:E65" si="2">IPMT($B$2/12,D34,$B$3,-$B$1)</f>
        <v>160481.10857338554</v>
      </c>
      <c r="F34" s="11">
        <f t="shared" ref="F34:F65" si="3">PPMT($B$2/12,D34,$B$3,-$B$1)</f>
        <v>328273.70399409049</v>
      </c>
      <c r="G34" s="11">
        <f>$B$1-SUM($F$2:F34)</f>
        <v>15719837.153344473</v>
      </c>
    </row>
    <row r="35" spans="4:7" x14ac:dyDescent="0.25">
      <c r="D35">
        <v>34</v>
      </c>
      <c r="E35" s="11">
        <f t="shared" si="2"/>
        <v>157198.37153344468</v>
      </c>
      <c r="F35" s="11">
        <f t="shared" si="3"/>
        <v>331556.44103403139</v>
      </c>
      <c r="G35" s="11">
        <f>$B$1-SUM($F$2:F35)</f>
        <v>15388280.712310441</v>
      </c>
    </row>
    <row r="36" spans="4:7" x14ac:dyDescent="0.25">
      <c r="D36">
        <v>35</v>
      </c>
      <c r="E36" s="11">
        <f t="shared" si="2"/>
        <v>153882.80712310434</v>
      </c>
      <c r="F36" s="11">
        <f t="shared" si="3"/>
        <v>334872.00544437172</v>
      </c>
      <c r="G36" s="11">
        <f>$B$1-SUM($F$2:F36)</f>
        <v>15053408.706866069</v>
      </c>
    </row>
    <row r="37" spans="4:7" x14ac:dyDescent="0.25">
      <c r="D37">
        <v>36</v>
      </c>
      <c r="E37" s="11">
        <f t="shared" si="2"/>
        <v>150534.08706866062</v>
      </c>
      <c r="F37" s="11">
        <f t="shared" si="3"/>
        <v>338220.72549881542</v>
      </c>
      <c r="G37" s="11">
        <f>$B$1-SUM($F$2:F37)</f>
        <v>14715187.981367253</v>
      </c>
    </row>
    <row r="38" spans="4:7" x14ac:dyDescent="0.25">
      <c r="D38">
        <v>37</v>
      </c>
      <c r="E38" s="11">
        <f t="shared" si="2"/>
        <v>147151.87981367248</v>
      </c>
      <c r="F38" s="11">
        <f t="shared" si="3"/>
        <v>341602.93275380362</v>
      </c>
      <c r="G38" s="11">
        <f>$B$1-SUM($F$2:F38)</f>
        <v>14373585.04861345</v>
      </c>
    </row>
    <row r="39" spans="4:7" x14ac:dyDescent="0.25">
      <c r="D39">
        <v>38</v>
      </c>
      <c r="E39" s="11">
        <f t="shared" si="2"/>
        <v>143735.85048613441</v>
      </c>
      <c r="F39" s="11">
        <f t="shared" si="3"/>
        <v>345018.9620813416</v>
      </c>
      <c r="G39" s="11">
        <f>$B$1-SUM($F$2:F39)</f>
        <v>14028566.086532108</v>
      </c>
    </row>
    <row r="40" spans="4:7" x14ac:dyDescent="0.25">
      <c r="D40">
        <v>39</v>
      </c>
      <c r="E40" s="11">
        <f t="shared" si="2"/>
        <v>140285.66086532103</v>
      </c>
      <c r="F40" s="11">
        <f t="shared" si="3"/>
        <v>348469.15170215501</v>
      </c>
      <c r="G40" s="11">
        <f>$B$1-SUM($F$2:F40)</f>
        <v>13680096.934829954</v>
      </c>
    </row>
    <row r="41" spans="4:7" x14ac:dyDescent="0.25">
      <c r="D41">
        <v>40</v>
      </c>
      <c r="E41" s="11">
        <f t="shared" si="2"/>
        <v>136800.96934829946</v>
      </c>
      <c r="F41" s="11">
        <f t="shared" si="3"/>
        <v>351953.84321917652</v>
      </c>
      <c r="G41" s="11">
        <f>$B$1-SUM($F$2:F41)</f>
        <v>13328143.091610778</v>
      </c>
    </row>
    <row r="42" spans="4:7" x14ac:dyDescent="0.25">
      <c r="D42">
        <v>41</v>
      </c>
      <c r="E42" s="11">
        <f t="shared" si="2"/>
        <v>133281.4309161077</v>
      </c>
      <c r="F42" s="11">
        <f t="shared" si="3"/>
        <v>355473.38165136828</v>
      </c>
      <c r="G42" s="11">
        <f>$B$1-SUM($F$2:F42)</f>
        <v>12972669.70995941</v>
      </c>
    </row>
    <row r="43" spans="4:7" x14ac:dyDescent="0.25">
      <c r="D43">
        <v>42</v>
      </c>
      <c r="E43" s="11">
        <f t="shared" si="2"/>
        <v>129726.69709959404</v>
      </c>
      <c r="F43" s="11">
        <f t="shared" si="3"/>
        <v>359028.11546788202</v>
      </c>
      <c r="G43" s="11">
        <f>$B$1-SUM($F$2:F43)</f>
        <v>12613641.594491528</v>
      </c>
    </row>
    <row r="44" spans="4:7" x14ac:dyDescent="0.25">
      <c r="D44">
        <v>43</v>
      </c>
      <c r="E44" s="11">
        <f t="shared" si="2"/>
        <v>126136.41594491518</v>
      </c>
      <c r="F44" s="11">
        <f t="shared" si="3"/>
        <v>362618.39662256086</v>
      </c>
      <c r="G44" s="11">
        <f>$B$1-SUM($F$2:F44)</f>
        <v>12251023.197868967</v>
      </c>
    </row>
    <row r="45" spans="4:7" x14ac:dyDescent="0.25">
      <c r="D45">
        <v>44</v>
      </c>
      <c r="E45" s="11">
        <f t="shared" si="2"/>
        <v>122510.2319786896</v>
      </c>
      <c r="F45" s="11">
        <f t="shared" si="3"/>
        <v>366244.58058878646</v>
      </c>
      <c r="G45" s="11">
        <f>$B$1-SUM($F$2:F45)</f>
        <v>11884778.617280181</v>
      </c>
    </row>
    <row r="46" spans="4:7" x14ac:dyDescent="0.25">
      <c r="D46">
        <v>45</v>
      </c>
      <c r="E46" s="11">
        <f t="shared" si="2"/>
        <v>118847.78617280175</v>
      </c>
      <c r="F46" s="11">
        <f t="shared" si="3"/>
        <v>369907.02639467426</v>
      </c>
      <c r="G46" s="11">
        <f>$B$1-SUM($F$2:F46)</f>
        <v>11514871.590885507</v>
      </c>
    </row>
    <row r="47" spans="4:7" x14ac:dyDescent="0.25">
      <c r="D47">
        <v>46</v>
      </c>
      <c r="E47" s="11">
        <f t="shared" si="2"/>
        <v>115148.71590885498</v>
      </c>
      <c r="F47" s="11">
        <f t="shared" si="3"/>
        <v>373606.09665862104</v>
      </c>
      <c r="G47" s="11">
        <f>$B$1-SUM($F$2:F47)</f>
        <v>11141265.494226886</v>
      </c>
    </row>
    <row r="48" spans="4:7" x14ac:dyDescent="0.25">
      <c r="D48">
        <v>47</v>
      </c>
      <c r="E48" s="11">
        <f t="shared" si="2"/>
        <v>111412.65494226878</v>
      </c>
      <c r="F48" s="11">
        <f t="shared" si="3"/>
        <v>377342.15762520721</v>
      </c>
      <c r="G48" s="11">
        <f>$B$1-SUM($F$2:F48)</f>
        <v>10763923.336601678</v>
      </c>
    </row>
    <row r="49" spans="4:7" x14ac:dyDescent="0.25">
      <c r="D49">
        <v>48</v>
      </c>
      <c r="E49" s="11">
        <f t="shared" si="2"/>
        <v>107639.23336601671</v>
      </c>
      <c r="F49" s="11">
        <f t="shared" si="3"/>
        <v>381115.57920145936</v>
      </c>
      <c r="G49" s="11">
        <f>$B$1-SUM($F$2:F49)</f>
        <v>10382807.757400218</v>
      </c>
    </row>
    <row r="50" spans="4:7" x14ac:dyDescent="0.25">
      <c r="D50">
        <v>49</v>
      </c>
      <c r="E50" s="11">
        <f t="shared" si="2"/>
        <v>103828.07757400209</v>
      </c>
      <c r="F50" s="11">
        <f t="shared" si="3"/>
        <v>384926.73499347398</v>
      </c>
      <c r="G50" s="11">
        <f>$B$1-SUM($F$2:F50)</f>
        <v>9997881.0224067438</v>
      </c>
    </row>
    <row r="51" spans="4:7" x14ac:dyDescent="0.25">
      <c r="D51">
        <v>50</v>
      </c>
      <c r="E51" s="11">
        <f t="shared" si="2"/>
        <v>99978.810224067347</v>
      </c>
      <c r="F51" s="11">
        <f t="shared" si="3"/>
        <v>388776.00234340871</v>
      </c>
      <c r="G51" s="11">
        <f>$B$1-SUM($F$2:F51)</f>
        <v>9609105.0200633351</v>
      </c>
    </row>
    <row r="52" spans="4:7" x14ac:dyDescent="0.25">
      <c r="D52">
        <v>51</v>
      </c>
      <c r="E52" s="11">
        <f t="shared" si="2"/>
        <v>96091.050200633297</v>
      </c>
      <c r="F52" s="11">
        <f t="shared" si="3"/>
        <v>392663.76236684277</v>
      </c>
      <c r="G52" s="11">
        <f>$B$1-SUM($F$2:F52)</f>
        <v>9216441.2576964926</v>
      </c>
    </row>
    <row r="53" spans="4:7" x14ac:dyDescent="0.25">
      <c r="D53">
        <v>52</v>
      </c>
      <c r="E53" s="11">
        <f t="shared" si="2"/>
        <v>92164.412576964853</v>
      </c>
      <c r="F53" s="11">
        <f t="shared" si="3"/>
        <v>396590.39999051119</v>
      </c>
      <c r="G53" s="11">
        <f>$B$1-SUM($F$2:F53)</f>
        <v>8819850.8577059805</v>
      </c>
    </row>
    <row r="54" spans="4:7" x14ac:dyDescent="0.25">
      <c r="D54">
        <v>53</v>
      </c>
      <c r="E54" s="11">
        <f t="shared" si="2"/>
        <v>88198.508577059736</v>
      </c>
      <c r="F54" s="11">
        <f t="shared" si="3"/>
        <v>400556.30399041629</v>
      </c>
      <c r="G54" s="11">
        <f>$B$1-SUM($F$2:F54)</f>
        <v>8419294.5537155643</v>
      </c>
    </row>
    <row r="55" spans="4:7" x14ac:dyDescent="0.25">
      <c r="D55">
        <v>54</v>
      </c>
      <c r="E55" s="11">
        <f t="shared" si="2"/>
        <v>84192.945537155567</v>
      </c>
      <c r="F55" s="11">
        <f t="shared" si="3"/>
        <v>404561.86703032046</v>
      </c>
      <c r="G55" s="11">
        <f>$B$1-SUM($F$2:F55)</f>
        <v>8014732.6866852455</v>
      </c>
    </row>
    <row r="56" spans="4:7" x14ac:dyDescent="0.25">
      <c r="D56">
        <v>55</v>
      </c>
      <c r="E56" s="11">
        <f t="shared" si="2"/>
        <v>80147.326866852352</v>
      </c>
      <c r="F56" s="11">
        <f t="shared" si="3"/>
        <v>408607.48570062371</v>
      </c>
      <c r="G56" s="11">
        <f>$B$1-SUM($F$2:F56)</f>
        <v>7606125.2009846233</v>
      </c>
    </row>
    <row r="57" spans="4:7" x14ac:dyDescent="0.25">
      <c r="D57">
        <v>56</v>
      </c>
      <c r="E57" s="11">
        <f t="shared" si="2"/>
        <v>76061.252009846139</v>
      </c>
      <c r="F57" s="11">
        <f t="shared" si="3"/>
        <v>412693.56055762991</v>
      </c>
      <c r="G57" s="11">
        <f>$B$1-SUM($F$2:F57)</f>
        <v>7193431.6404269934</v>
      </c>
    </row>
    <row r="58" spans="4:7" x14ac:dyDescent="0.25">
      <c r="D58">
        <v>57</v>
      </c>
      <c r="E58" s="11">
        <f t="shared" si="2"/>
        <v>71934.316404269819</v>
      </c>
      <c r="F58" s="11">
        <f t="shared" si="3"/>
        <v>416820.49616320623</v>
      </c>
      <c r="G58" s="11">
        <f>$B$1-SUM($F$2:F58)</f>
        <v>6776611.1442637853</v>
      </c>
    </row>
    <row r="59" spans="4:7" x14ac:dyDescent="0.25">
      <c r="D59">
        <v>58</v>
      </c>
      <c r="E59" s="11">
        <f t="shared" si="2"/>
        <v>67766.111442637746</v>
      </c>
      <c r="F59" s="11">
        <f t="shared" si="3"/>
        <v>420988.70112483832</v>
      </c>
      <c r="G59" s="11">
        <f>$B$1-SUM($F$2:F59)</f>
        <v>6355622.4431389458</v>
      </c>
    </row>
    <row r="60" spans="4:7" x14ac:dyDescent="0.25">
      <c r="D60">
        <v>59</v>
      </c>
      <c r="E60" s="11">
        <f t="shared" si="2"/>
        <v>63556.224431389375</v>
      </c>
      <c r="F60" s="11">
        <f t="shared" si="3"/>
        <v>425198.58813608671</v>
      </c>
      <c r="G60" s="11">
        <f>$B$1-SUM($F$2:F60)</f>
        <v>5930423.8550028577</v>
      </c>
    </row>
    <row r="61" spans="4:7" x14ac:dyDescent="0.25">
      <c r="D61">
        <v>60</v>
      </c>
      <c r="E61" s="11">
        <f t="shared" si="2"/>
        <v>59304.238550028516</v>
      </c>
      <c r="F61" s="11">
        <f t="shared" si="3"/>
        <v>429450.57401744754</v>
      </c>
      <c r="G61" s="11">
        <f>$B$1-SUM($F$2:F61)</f>
        <v>5500973.2809854113</v>
      </c>
    </row>
    <row r="62" spans="4:7" x14ac:dyDescent="0.25">
      <c r="D62">
        <v>61</v>
      </c>
      <c r="E62" s="11">
        <f t="shared" si="2"/>
        <v>55009.732809854038</v>
      </c>
      <c r="F62" s="11">
        <f t="shared" si="3"/>
        <v>433745.07975762204</v>
      </c>
      <c r="G62" s="11">
        <f>$B$1-SUM($F$2:F62)</f>
        <v>5067228.2012277879</v>
      </c>
    </row>
    <row r="63" spans="4:7" x14ac:dyDescent="0.25">
      <c r="D63">
        <v>62</v>
      </c>
      <c r="E63" s="11">
        <f t="shared" si="2"/>
        <v>50672.282012277814</v>
      </c>
      <c r="F63" s="11">
        <f t="shared" si="3"/>
        <v>438082.53055519826</v>
      </c>
      <c r="G63" s="11">
        <f>$B$1-SUM($F$2:F63)</f>
        <v>4629145.6706725881</v>
      </c>
    </row>
    <row r="64" spans="4:7" x14ac:dyDescent="0.25">
      <c r="D64">
        <v>63</v>
      </c>
      <c r="E64" s="11">
        <f t="shared" si="2"/>
        <v>46291.456706725825</v>
      </c>
      <c r="F64" s="11">
        <f t="shared" si="3"/>
        <v>442463.35586075025</v>
      </c>
      <c r="G64" s="11">
        <f>$B$1-SUM($F$2:F64)</f>
        <v>4186682.3148118369</v>
      </c>
    </row>
    <row r="65" spans="4:7" x14ac:dyDescent="0.25">
      <c r="D65">
        <v>64</v>
      </c>
      <c r="E65" s="11">
        <f t="shared" si="2"/>
        <v>41866.823148118325</v>
      </c>
      <c r="F65" s="11">
        <f t="shared" si="3"/>
        <v>446887.98941935773</v>
      </c>
      <c r="G65" s="11">
        <f>$B$1-SUM($F$2:F65)</f>
        <v>3739794.3253924809</v>
      </c>
    </row>
    <row r="66" spans="4:7" x14ac:dyDescent="0.25">
      <c r="D66">
        <v>65</v>
      </c>
      <c r="E66" s="11">
        <f t="shared" ref="E66:E97" si="4">IPMT($B$2/12,D66,$B$3,-$B$1)</f>
        <v>37397.943253924743</v>
      </c>
      <c r="F66" s="11">
        <f t="shared" ref="F66:F73" si="5">PPMT($B$2/12,D66,$B$3,-$B$1)</f>
        <v>451356.86931355129</v>
      </c>
      <c r="G66" s="11">
        <f>$B$1-SUM($F$2:F66)</f>
        <v>3288437.456078928</v>
      </c>
    </row>
    <row r="67" spans="4:7" x14ac:dyDescent="0.25">
      <c r="D67">
        <v>66</v>
      </c>
      <c r="E67" s="11">
        <f t="shared" si="4"/>
        <v>32884.374560789227</v>
      </c>
      <c r="F67" s="11">
        <f t="shared" si="5"/>
        <v>455870.4380066868</v>
      </c>
      <c r="G67" s="11">
        <f>$B$1-SUM($F$2:F67)</f>
        <v>2832567.0180722401</v>
      </c>
    </row>
    <row r="68" spans="4:7" x14ac:dyDescent="0.25">
      <c r="D68">
        <v>67</v>
      </c>
      <c r="E68" s="11">
        <f t="shared" si="4"/>
        <v>28325.670180722365</v>
      </c>
      <c r="F68" s="11">
        <f t="shared" si="5"/>
        <v>460429.14238675364</v>
      </c>
      <c r="G68" s="11">
        <f>$B$1-SUM($F$2:F68)</f>
        <v>2372137.8756854869</v>
      </c>
    </row>
    <row r="69" spans="4:7" x14ac:dyDescent="0.25">
      <c r="D69">
        <v>68</v>
      </c>
      <c r="E69" s="11">
        <f t="shared" si="4"/>
        <v>23721.378756854829</v>
      </c>
      <c r="F69" s="11">
        <f t="shared" si="5"/>
        <v>465033.43381062121</v>
      </c>
      <c r="G69" s="11">
        <f>$B$1-SUM($F$2:F69)</f>
        <v>1907104.4418748654</v>
      </c>
    </row>
    <row r="70" spans="4:7" x14ac:dyDescent="0.25">
      <c r="D70">
        <v>69</v>
      </c>
      <c r="E70" s="11">
        <f t="shared" si="4"/>
        <v>19071.04441874861</v>
      </c>
      <c r="F70" s="11">
        <f t="shared" si="5"/>
        <v>469683.76814872742</v>
      </c>
      <c r="G70" s="11">
        <f>$B$1-SUM($F$2:F70)</f>
        <v>1437420.6737261377</v>
      </c>
    </row>
    <row r="71" spans="4:7" x14ac:dyDescent="0.25">
      <c r="D71">
        <v>70</v>
      </c>
      <c r="E71" s="11">
        <f t="shared" si="4"/>
        <v>14374.206737261338</v>
      </c>
      <c r="F71" s="11">
        <f t="shared" si="5"/>
        <v>474380.60583021468</v>
      </c>
      <c r="G71" s="11">
        <f>$B$1-SUM($F$2:F71)</f>
        <v>963040.06789592281</v>
      </c>
    </row>
    <row r="72" spans="4:7" x14ac:dyDescent="0.25">
      <c r="D72">
        <v>71</v>
      </c>
      <c r="E72" s="11">
        <f t="shared" si="4"/>
        <v>9630.4006789591913</v>
      </c>
      <c r="F72" s="11">
        <f t="shared" si="5"/>
        <v>479124.41188851686</v>
      </c>
      <c r="G72" s="11">
        <f>$B$1-SUM($F$2:F72)</f>
        <v>483915.65600740537</v>
      </c>
    </row>
    <row r="73" spans="4:7" x14ac:dyDescent="0.25">
      <c r="D73">
        <v>72</v>
      </c>
      <c r="E73" s="11">
        <f t="shared" si="4"/>
        <v>4839.1565600740214</v>
      </c>
      <c r="F73" s="11">
        <f t="shared" si="5"/>
        <v>483915.65600740205</v>
      </c>
      <c r="G73" s="11">
        <f>$B$1-SUM($F$2:F73)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0</xdr:col>
                <xdr:colOff>990600</xdr:colOff>
                <xdr:row>5</xdr:row>
                <xdr:rowOff>104775</xdr:rowOff>
              </from>
              <to>
                <xdr:col>1</xdr:col>
                <xdr:colOff>609600</xdr:colOff>
                <xdr:row>7</xdr:row>
                <xdr:rowOff>57150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Formulas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USUSOPORTE</cp:lastModifiedBy>
  <dcterms:created xsi:type="dcterms:W3CDTF">2013-04-09T00:35:56Z</dcterms:created>
  <dcterms:modified xsi:type="dcterms:W3CDTF">2016-08-23T18:51:14Z</dcterms:modified>
</cp:coreProperties>
</file>